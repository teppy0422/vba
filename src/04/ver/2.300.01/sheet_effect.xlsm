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1.40\Macintosh HD\Applications\MAMP\htdocs\04_生産準備\000_システムパーツ\ver\2.300.01\"/>
    </mc:Choice>
  </mc:AlternateContent>
  <bookViews>
    <workbookView xWindow="0" yWindow="0" windowWidth="38400" windowHeight="18130"/>
  </bookViews>
  <sheets>
    <sheet name="効果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2" i="1" l="1"/>
  <c r="G72" i="1"/>
  <c r="F72" i="1"/>
  <c r="E72" i="1"/>
  <c r="G71" i="1"/>
  <c r="G70" i="1"/>
  <c r="G69" i="1"/>
  <c r="G68" i="1"/>
  <c r="G67" i="1"/>
  <c r="G66" i="1"/>
  <c r="G65" i="1"/>
  <c r="G64" i="1"/>
  <c r="G63" i="1"/>
  <c r="G57" i="1"/>
  <c r="H57" i="1" s="1"/>
  <c r="F57" i="1"/>
  <c r="E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H27" i="1"/>
  <c r="G27" i="1"/>
  <c r="F27" i="1"/>
  <c r="E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</calcChain>
</file>

<file path=xl/sharedStrings.xml><?xml version="1.0" encoding="utf-8"?>
<sst xmlns="http://schemas.openxmlformats.org/spreadsheetml/2006/main" count="118" uniqueCount="62">
  <si>
    <t>生産準備+の効果目安_作成現場</t>
    <rPh sb="0" eb="2">
      <t>セイサン</t>
    </rPh>
    <rPh sb="2" eb="4">
      <t>ジュンビ</t>
    </rPh>
    <rPh sb="6" eb="8">
      <t>コウカ</t>
    </rPh>
    <rPh sb="8" eb="10">
      <t>メヤス</t>
    </rPh>
    <rPh sb="11" eb="13">
      <t>サクセイ</t>
    </rPh>
    <rPh sb="13" eb="15">
      <t>ゲンバ</t>
    </rPh>
    <phoneticPr fontId="1"/>
  </si>
  <si>
    <t>片岡哲兵</t>
    <rPh sb="0" eb="2">
      <t>カタオカ</t>
    </rPh>
    <rPh sb="2" eb="3">
      <t>テツ</t>
    </rPh>
    <rPh sb="3" eb="4">
      <t>ヘイ</t>
    </rPh>
    <phoneticPr fontId="1"/>
  </si>
  <si>
    <t>一般の製品</t>
    <rPh sb="0" eb="2">
      <t>イッパン</t>
    </rPh>
    <rPh sb="3" eb="5">
      <t>セイヒン</t>
    </rPh>
    <phoneticPr fontId="1"/>
  </si>
  <si>
    <t>8216136*_41点</t>
    <rPh sb="11" eb="12">
      <t>テン</t>
    </rPh>
    <phoneticPr fontId="1"/>
  </si>
  <si>
    <t>H/切替毎</t>
    <rPh sb="2" eb="4">
      <t>キリカエ</t>
    </rPh>
    <rPh sb="4" eb="5">
      <t>ゴト</t>
    </rPh>
    <phoneticPr fontId="1"/>
  </si>
  <si>
    <t>№</t>
    <phoneticPr fontId="1"/>
  </si>
  <si>
    <t>成果物</t>
    <rPh sb="0" eb="3">
      <t>セイカブツ</t>
    </rPh>
    <phoneticPr fontId="1"/>
  </si>
  <si>
    <t>手入力内容</t>
    <rPh sb="0" eb="1">
      <t>テ</t>
    </rPh>
    <rPh sb="1" eb="3">
      <t>ニュウリョク</t>
    </rPh>
    <rPh sb="3" eb="5">
      <t>ナイヨウ</t>
    </rPh>
    <phoneticPr fontId="1"/>
  </si>
  <si>
    <t>導入前</t>
    <rPh sb="0" eb="2">
      <t>ドウニュウ</t>
    </rPh>
    <rPh sb="2" eb="3">
      <t>マエ</t>
    </rPh>
    <phoneticPr fontId="1"/>
  </si>
  <si>
    <t>導入後</t>
    <rPh sb="0" eb="2">
      <t>ドウニュウ</t>
    </rPh>
    <rPh sb="2" eb="3">
      <t>ゴ</t>
    </rPh>
    <phoneticPr fontId="1"/>
  </si>
  <si>
    <t>効果▲</t>
    <rPh sb="0" eb="2">
      <t>コウカ</t>
    </rPh>
    <phoneticPr fontId="1"/>
  </si>
  <si>
    <t>最近の更新</t>
    <rPh sb="0" eb="2">
      <t>サイキン</t>
    </rPh>
    <rPh sb="3" eb="5">
      <t>コウシン</t>
    </rPh>
    <phoneticPr fontId="1"/>
  </si>
  <si>
    <t>回路マトリクス</t>
    <rPh sb="0" eb="2">
      <t>カイロ</t>
    </rPh>
    <phoneticPr fontId="1"/>
  </si>
  <si>
    <t>作る</t>
    <rPh sb="0" eb="1">
      <t>ツク</t>
    </rPh>
    <phoneticPr fontId="1"/>
  </si>
  <si>
    <t>導入によって追加</t>
    <rPh sb="0" eb="2">
      <t>ドウニュウ</t>
    </rPh>
    <rPh sb="6" eb="8">
      <t>ツイカ</t>
    </rPh>
    <phoneticPr fontId="1"/>
  </si>
  <si>
    <t>インポート</t>
    <phoneticPr fontId="1"/>
  </si>
  <si>
    <t>シート作成</t>
    <rPh sb="3" eb="5">
      <t>サクセイ</t>
    </rPh>
    <phoneticPr fontId="1"/>
  </si>
  <si>
    <t>作成ボタンを押す</t>
    <rPh sb="0" eb="2">
      <t>サクセイ</t>
    </rPh>
    <rPh sb="6" eb="7">
      <t>オ</t>
    </rPh>
    <phoneticPr fontId="1"/>
  </si>
  <si>
    <t>サブ図</t>
    <rPh sb="2" eb="3">
      <t>ズ</t>
    </rPh>
    <phoneticPr fontId="1"/>
  </si>
  <si>
    <t>マル即反映</t>
    <rPh sb="2" eb="3">
      <t>ソク</t>
    </rPh>
    <rPh sb="3" eb="5">
      <t>ハンエイ</t>
    </rPh>
    <phoneticPr fontId="1"/>
  </si>
  <si>
    <t>回路マトリクス貼付け</t>
    <rPh sb="0" eb="2">
      <t>カイロ</t>
    </rPh>
    <rPh sb="7" eb="9">
      <t>ハリツ</t>
    </rPh>
    <phoneticPr fontId="1"/>
  </si>
  <si>
    <t>コネクタ図貼付け</t>
    <rPh sb="4" eb="5">
      <t>ズ</t>
    </rPh>
    <rPh sb="5" eb="7">
      <t>ハリツ</t>
    </rPh>
    <phoneticPr fontId="1"/>
  </si>
  <si>
    <t>6→0.5</t>
    <phoneticPr fontId="1"/>
  </si>
  <si>
    <t>付属部品入力</t>
    <rPh sb="0" eb="2">
      <t>フゾク</t>
    </rPh>
    <rPh sb="2" eb="4">
      <t>ブヒン</t>
    </rPh>
    <rPh sb="4" eb="6">
      <t>ニュウリョク</t>
    </rPh>
    <phoneticPr fontId="1"/>
  </si>
  <si>
    <t>3→0.25</t>
    <phoneticPr fontId="1"/>
  </si>
  <si>
    <t>端末№、コネクタ品番入力</t>
    <rPh sb="0" eb="2">
      <t>タンマツ</t>
    </rPh>
    <rPh sb="8" eb="10">
      <t>ヒンバン</t>
    </rPh>
    <rPh sb="10" eb="12">
      <t>ニュウリョク</t>
    </rPh>
    <phoneticPr fontId="1"/>
  </si>
  <si>
    <t>回路符号/電線サイズ/色入力</t>
    <rPh sb="0" eb="2">
      <t>カイロ</t>
    </rPh>
    <rPh sb="2" eb="4">
      <t>フゴウ</t>
    </rPh>
    <rPh sb="5" eb="7">
      <t>デンセン</t>
    </rPh>
    <rPh sb="11" eb="12">
      <t>イロ</t>
    </rPh>
    <rPh sb="12" eb="14">
      <t>ニュウリョク</t>
    </rPh>
    <phoneticPr fontId="1"/>
  </si>
  <si>
    <t>ロック締め入力</t>
    <rPh sb="3" eb="4">
      <t>シ</t>
    </rPh>
    <rPh sb="5" eb="7">
      <t>ニュウリョク</t>
    </rPh>
    <phoneticPr fontId="1"/>
  </si>
  <si>
    <t>5→0.5</t>
    <phoneticPr fontId="1"/>
  </si>
  <si>
    <t>先ハメ図</t>
    <rPh sb="0" eb="1">
      <t>サキ</t>
    </rPh>
    <rPh sb="3" eb="4">
      <t>ズ</t>
    </rPh>
    <phoneticPr fontId="1"/>
  </si>
  <si>
    <t>コネクタ写真貼付け</t>
    <rPh sb="4" eb="6">
      <t>シャシン</t>
    </rPh>
    <rPh sb="6" eb="8">
      <t>ハリツ</t>
    </rPh>
    <phoneticPr fontId="1"/>
  </si>
  <si>
    <t>電線色、防水栓入力</t>
    <rPh sb="0" eb="2">
      <t>デンセン</t>
    </rPh>
    <rPh sb="2" eb="3">
      <t>イロ</t>
    </rPh>
    <rPh sb="4" eb="6">
      <t>ボウスイ</t>
    </rPh>
    <rPh sb="6" eb="7">
      <t>セン</t>
    </rPh>
    <rPh sb="7" eb="9">
      <t>ニュウリョク</t>
    </rPh>
    <phoneticPr fontId="1"/>
  </si>
  <si>
    <t>先ハメナンバー入力</t>
    <rPh sb="0" eb="1">
      <t>サキ</t>
    </rPh>
    <rPh sb="7" eb="9">
      <t>ニュウリョク</t>
    </rPh>
    <phoneticPr fontId="1"/>
  </si>
  <si>
    <t>後ハメ図</t>
    <rPh sb="0" eb="1">
      <t>アト</t>
    </rPh>
    <rPh sb="3" eb="4">
      <t>ズ</t>
    </rPh>
    <phoneticPr fontId="1"/>
  </si>
  <si>
    <t>製品の使分けを入力</t>
    <rPh sb="0" eb="2">
      <t>セイヒン</t>
    </rPh>
    <rPh sb="3" eb="5">
      <t>ツカイワ</t>
    </rPh>
    <rPh sb="7" eb="9">
      <t>ニュウリョク</t>
    </rPh>
    <phoneticPr fontId="1"/>
  </si>
  <si>
    <t>配策図</t>
    <rPh sb="0" eb="1">
      <t>ハイ</t>
    </rPh>
    <rPh sb="1" eb="2">
      <t>サク</t>
    </rPh>
    <rPh sb="2" eb="3">
      <t>ズ</t>
    </rPh>
    <phoneticPr fontId="1"/>
  </si>
  <si>
    <t>作成</t>
    <rPh sb="0" eb="2">
      <t>サクセイ</t>
    </rPh>
    <phoneticPr fontId="1"/>
  </si>
  <si>
    <t>エフにサブ№印刷</t>
    <rPh sb="6" eb="8">
      <t>インサツ</t>
    </rPh>
    <phoneticPr fontId="1"/>
  </si>
  <si>
    <t>アクセスに手入力</t>
    <rPh sb="5" eb="6">
      <t>テ</t>
    </rPh>
    <rPh sb="6" eb="8">
      <t>ニュウリョク</t>
    </rPh>
    <phoneticPr fontId="1"/>
  </si>
  <si>
    <t>total</t>
    <phoneticPr fontId="1"/>
  </si>
  <si>
    <t>一貫工程(先ハメが複数ある場合)</t>
    <rPh sb="0" eb="2">
      <t>イッカン</t>
    </rPh>
    <rPh sb="2" eb="4">
      <t>コウテイ</t>
    </rPh>
    <phoneticPr fontId="1"/>
  </si>
  <si>
    <t>ANA141_14点</t>
    <rPh sb="9" eb="10">
      <t>テン</t>
    </rPh>
    <phoneticPr fontId="1"/>
  </si>
  <si>
    <t>14→1</t>
    <phoneticPr fontId="1"/>
  </si>
  <si>
    <t>工程色に着色</t>
    <rPh sb="0" eb="2">
      <t>コウテイ</t>
    </rPh>
    <rPh sb="2" eb="3">
      <t>ショク</t>
    </rPh>
    <rPh sb="4" eb="6">
      <t>チャクショク</t>
    </rPh>
    <phoneticPr fontId="1"/>
  </si>
  <si>
    <t>14→2</t>
    <phoneticPr fontId="1"/>
  </si>
  <si>
    <t>製品使分け</t>
    <rPh sb="0" eb="2">
      <t>セイヒン</t>
    </rPh>
    <rPh sb="2" eb="4">
      <t>ツカイワ</t>
    </rPh>
    <phoneticPr fontId="1"/>
  </si>
  <si>
    <t>製品品番を入力</t>
    <rPh sb="0" eb="2">
      <t>セイヒン</t>
    </rPh>
    <rPh sb="2" eb="4">
      <t>ヒンバン</t>
    </rPh>
    <rPh sb="5" eb="7">
      <t>ニュウリョク</t>
    </rPh>
    <phoneticPr fontId="1"/>
  </si>
  <si>
    <t>自動機</t>
    <rPh sb="0" eb="2">
      <t>ジドウ</t>
    </rPh>
    <rPh sb="2" eb="3">
      <t>キ</t>
    </rPh>
    <phoneticPr fontId="1"/>
  </si>
  <si>
    <t>竿レイアウト作成</t>
    <rPh sb="0" eb="1">
      <t>サオ</t>
    </rPh>
    <rPh sb="6" eb="8">
      <t>サクセイ</t>
    </rPh>
    <phoneticPr fontId="1"/>
  </si>
  <si>
    <t>AMDAS作成</t>
    <rPh sb="5" eb="7">
      <t>サクセイ</t>
    </rPh>
    <phoneticPr fontId="1"/>
  </si>
  <si>
    <t>total</t>
    <phoneticPr fontId="1"/>
  </si>
  <si>
    <t>補給品</t>
    <rPh sb="0" eb="2">
      <t>ホキュウ</t>
    </rPh>
    <rPh sb="2" eb="3">
      <t>ヒン</t>
    </rPh>
    <phoneticPr fontId="1"/>
  </si>
  <si>
    <t>300回路以上の製品</t>
    <rPh sb="3" eb="5">
      <t>カイロ</t>
    </rPh>
    <rPh sb="5" eb="7">
      <t>イジョウ</t>
    </rPh>
    <rPh sb="8" eb="10">
      <t>セイヒン</t>
    </rPh>
    <phoneticPr fontId="1"/>
  </si>
  <si>
    <t>H/新設毎</t>
    <rPh sb="2" eb="4">
      <t>シンセツ</t>
    </rPh>
    <rPh sb="4" eb="5">
      <t>ゴト</t>
    </rPh>
    <phoneticPr fontId="1"/>
  </si>
  <si>
    <t>サブ形態</t>
    <rPh sb="2" eb="4">
      <t>ケイタイ</t>
    </rPh>
    <phoneticPr fontId="1"/>
  </si>
  <si>
    <t>サブ図の付属部品修正</t>
    <rPh sb="2" eb="3">
      <t>ズ</t>
    </rPh>
    <rPh sb="4" eb="6">
      <t>フゾク</t>
    </rPh>
    <rPh sb="6" eb="8">
      <t>ブヒン</t>
    </rPh>
    <rPh sb="8" eb="10">
      <t>シュウセイ</t>
    </rPh>
    <phoneticPr fontId="1"/>
  </si>
  <si>
    <t>サブ形態の変更(導入前は不可)</t>
    <rPh sb="2" eb="4">
      <t>ケイタイ</t>
    </rPh>
    <rPh sb="5" eb="7">
      <t>ヘンコウ</t>
    </rPh>
    <rPh sb="8" eb="10">
      <t>ドウニュウ</t>
    </rPh>
    <rPh sb="10" eb="11">
      <t>マエ</t>
    </rPh>
    <rPh sb="12" eb="14">
      <t>フカ</t>
    </rPh>
    <phoneticPr fontId="1"/>
  </si>
  <si>
    <t>サブ図印刷</t>
    <rPh sb="2" eb="3">
      <t>ズ</t>
    </rPh>
    <rPh sb="3" eb="5">
      <t>インサツ</t>
    </rPh>
    <phoneticPr fontId="1"/>
  </si>
  <si>
    <t>電線仕分けリスト作成</t>
    <rPh sb="0" eb="2">
      <t>デンセン</t>
    </rPh>
    <rPh sb="2" eb="4">
      <t>シワ</t>
    </rPh>
    <rPh sb="8" eb="10">
      <t>サクセイ</t>
    </rPh>
    <phoneticPr fontId="1"/>
  </si>
  <si>
    <t>先ハメ部品リスト作成</t>
    <rPh sb="0" eb="1">
      <t>サキ</t>
    </rPh>
    <rPh sb="3" eb="5">
      <t>ブヒン</t>
    </rPh>
    <rPh sb="8" eb="10">
      <t>サクセイ</t>
    </rPh>
    <phoneticPr fontId="1"/>
  </si>
  <si>
    <t>誘導データ</t>
    <rPh sb="0" eb="2">
      <t>ユウドウ</t>
    </rPh>
    <phoneticPr fontId="1"/>
  </si>
  <si>
    <t>治具座標の入力</t>
    <rPh sb="0" eb="2">
      <t>ジグ</t>
    </rPh>
    <rPh sb="2" eb="4">
      <t>ザヒョウ</t>
    </rPh>
    <rPh sb="5" eb="7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</si>
</sst>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;[Red]\▲0.00\ "/>
    <numFmt numFmtId="177" formatCode="0.00_ ;[Red]0.00\ "/>
    <numFmt numFmtId="178" formatCode="[Red]0%&quot;減&quot;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2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7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2" fontId="0" fillId="3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2" fontId="0" fillId="0" borderId="1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0" borderId="5" xfId="0" applyFill="1" applyBorder="1" applyAlignment="1">
      <alignment horizontal="right" vertical="center"/>
    </xf>
    <xf numFmtId="178" fontId="2" fillId="0" borderId="0" xfId="0" applyNumberFormat="1" applyFont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horizontal="right" vertical="center"/>
    </xf>
    <xf numFmtId="2" fontId="0" fillId="0" borderId="0" xfId="0" applyNumberFormat="1" applyBorder="1">
      <alignment vertical="center"/>
    </xf>
    <xf numFmtId="176" fontId="0" fillId="0" borderId="0" xfId="0" applyNumberFormat="1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4" xfId="0" applyFont="1" applyBorder="1">
      <alignment vertical="center"/>
    </xf>
    <xf numFmtId="2" fontId="0" fillId="0" borderId="4" xfId="0" applyNumberFormat="1" applyBorder="1">
      <alignment vertical="center"/>
    </xf>
    <xf numFmtId="176" fontId="0" fillId="0" borderId="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B1:H72"/>
  <sheetViews>
    <sheetView showGridLines="0" tabSelected="1" zoomScale="115" zoomScaleNormal="115" workbookViewId="0">
      <selection activeCell="J10" sqref="J10"/>
    </sheetView>
  </sheetViews>
  <sheetFormatPr defaultColWidth="9" defaultRowHeight="13" x14ac:dyDescent="0.2"/>
  <cols>
    <col min="1" max="1" width="2.08984375" customWidth="1"/>
    <col min="2" max="2" width="5.26953125" customWidth="1"/>
    <col min="3" max="3" width="16.26953125" bestFit="1" customWidth="1"/>
    <col min="4" max="4" width="25" customWidth="1"/>
    <col min="7" max="7" width="9.36328125" bestFit="1" customWidth="1"/>
    <col min="8" max="8" width="11" bestFit="1" customWidth="1"/>
    <col min="9" max="9" width="3.90625" customWidth="1"/>
    <col min="10" max="10" width="15.6328125" customWidth="1"/>
    <col min="11" max="11" width="27.26953125" bestFit="1" customWidth="1"/>
    <col min="12" max="12" width="11.36328125" bestFit="1" customWidth="1"/>
    <col min="13" max="13" width="7.08984375" bestFit="1" customWidth="1"/>
    <col min="14" max="14" width="7.453125" bestFit="1" customWidth="1"/>
  </cols>
  <sheetData>
    <row r="1" spans="2:8" x14ac:dyDescent="0.2">
      <c r="B1" t="s">
        <v>0</v>
      </c>
      <c r="H1" s="1">
        <v>43914</v>
      </c>
    </row>
    <row r="2" spans="2:8" x14ac:dyDescent="0.2">
      <c r="H2" t="s">
        <v>1</v>
      </c>
    </row>
    <row r="3" spans="2:8" x14ac:dyDescent="0.2">
      <c r="B3" t="s">
        <v>2</v>
      </c>
    </row>
    <row r="4" spans="2:8" x14ac:dyDescent="0.2">
      <c r="B4" t="s">
        <v>3</v>
      </c>
      <c r="E4" t="s">
        <v>4</v>
      </c>
    </row>
    <row r="5" spans="2:8" x14ac:dyDescent="0.2">
      <c r="B5" s="2" t="s">
        <v>5</v>
      </c>
      <c r="C5" s="3" t="s">
        <v>6</v>
      </c>
      <c r="D5" s="2" t="s">
        <v>7</v>
      </c>
      <c r="E5" s="2" t="s">
        <v>8</v>
      </c>
      <c r="F5" s="2" t="s">
        <v>9</v>
      </c>
      <c r="G5" s="4" t="s">
        <v>10</v>
      </c>
      <c r="H5" s="5" t="s">
        <v>11</v>
      </c>
    </row>
    <row r="6" spans="2:8" x14ac:dyDescent="0.2">
      <c r="B6" s="6">
        <v>1</v>
      </c>
      <c r="C6" s="6" t="s">
        <v>12</v>
      </c>
      <c r="D6" s="6" t="s">
        <v>13</v>
      </c>
      <c r="E6" s="7">
        <v>60</v>
      </c>
      <c r="F6" s="7">
        <v>60</v>
      </c>
      <c r="G6" s="8">
        <f t="shared" ref="G6:G9" si="0">E6-F6</f>
        <v>0</v>
      </c>
      <c r="H6" s="6"/>
    </row>
    <row r="7" spans="2:8" x14ac:dyDescent="0.2">
      <c r="B7" s="6">
        <v>2</v>
      </c>
      <c r="C7" s="9" t="s">
        <v>14</v>
      </c>
      <c r="D7" s="6" t="s">
        <v>15</v>
      </c>
      <c r="E7" s="7"/>
      <c r="F7" s="7">
        <v>0.25</v>
      </c>
      <c r="G7" s="10">
        <f t="shared" si="0"/>
        <v>-0.25</v>
      </c>
      <c r="H7" s="6"/>
    </row>
    <row r="8" spans="2:8" x14ac:dyDescent="0.2">
      <c r="B8" s="6">
        <v>3</v>
      </c>
      <c r="C8" s="11"/>
      <c r="D8" s="6" t="s">
        <v>16</v>
      </c>
      <c r="E8" s="7"/>
      <c r="F8" s="7">
        <v>0.25</v>
      </c>
      <c r="G8" s="10">
        <f t="shared" si="0"/>
        <v>-0.25</v>
      </c>
      <c r="H8" s="6"/>
    </row>
    <row r="9" spans="2:8" x14ac:dyDescent="0.2">
      <c r="B9" s="6">
        <v>4</v>
      </c>
      <c r="C9" s="12"/>
      <c r="D9" s="6" t="s">
        <v>17</v>
      </c>
      <c r="E9" s="7"/>
      <c r="F9" s="7">
        <v>0.25</v>
      </c>
      <c r="G9" s="10">
        <f t="shared" si="0"/>
        <v>-0.25</v>
      </c>
      <c r="H9" s="6"/>
    </row>
    <row r="10" spans="2:8" x14ac:dyDescent="0.2">
      <c r="B10" s="6">
        <v>5</v>
      </c>
      <c r="C10" s="9" t="s">
        <v>18</v>
      </c>
      <c r="D10" s="6" t="s">
        <v>19</v>
      </c>
      <c r="E10" s="7">
        <v>8</v>
      </c>
      <c r="F10" s="7">
        <v>1</v>
      </c>
      <c r="G10" s="8">
        <f>E10-F10</f>
        <v>7</v>
      </c>
      <c r="H10" s="6"/>
    </row>
    <row r="11" spans="2:8" x14ac:dyDescent="0.2">
      <c r="B11" s="6">
        <v>6</v>
      </c>
      <c r="C11" s="11"/>
      <c r="D11" s="6" t="s">
        <v>20</v>
      </c>
      <c r="E11" s="7">
        <v>8</v>
      </c>
      <c r="F11" s="7"/>
      <c r="G11" s="8">
        <f t="shared" ref="G11:G27" si="1">E11-F11</f>
        <v>8</v>
      </c>
      <c r="H11" s="6"/>
    </row>
    <row r="12" spans="2:8" x14ac:dyDescent="0.2">
      <c r="B12" s="6">
        <v>7</v>
      </c>
      <c r="C12" s="11"/>
      <c r="D12" s="6" t="s">
        <v>21</v>
      </c>
      <c r="E12" s="7">
        <v>9</v>
      </c>
      <c r="F12" s="13">
        <v>0.5</v>
      </c>
      <c r="G12" s="8">
        <f t="shared" si="1"/>
        <v>8.5</v>
      </c>
      <c r="H12" s="5" t="s">
        <v>22</v>
      </c>
    </row>
    <row r="13" spans="2:8" x14ac:dyDescent="0.2">
      <c r="B13" s="6">
        <v>8</v>
      </c>
      <c r="C13" s="11"/>
      <c r="D13" s="6" t="s">
        <v>23</v>
      </c>
      <c r="E13" s="7">
        <v>10</v>
      </c>
      <c r="F13" s="13">
        <v>0.25</v>
      </c>
      <c r="G13" s="8">
        <f t="shared" si="1"/>
        <v>9.75</v>
      </c>
      <c r="H13" s="5" t="s">
        <v>24</v>
      </c>
    </row>
    <row r="14" spans="2:8" x14ac:dyDescent="0.2">
      <c r="B14" s="6">
        <v>9</v>
      </c>
      <c r="C14" s="11"/>
      <c r="D14" s="6" t="s">
        <v>25</v>
      </c>
      <c r="E14" s="7">
        <v>8</v>
      </c>
      <c r="F14" s="7"/>
      <c r="G14" s="8">
        <f t="shared" si="1"/>
        <v>8</v>
      </c>
      <c r="H14" s="6"/>
    </row>
    <row r="15" spans="2:8" x14ac:dyDescent="0.2">
      <c r="B15" s="6">
        <v>10</v>
      </c>
      <c r="C15" s="11"/>
      <c r="D15" s="6" t="s">
        <v>26</v>
      </c>
      <c r="E15" s="7">
        <v>25</v>
      </c>
      <c r="F15" s="7"/>
      <c r="G15" s="8">
        <f t="shared" si="1"/>
        <v>25</v>
      </c>
      <c r="H15" s="6"/>
    </row>
    <row r="16" spans="2:8" x14ac:dyDescent="0.2">
      <c r="B16" s="6">
        <v>11</v>
      </c>
      <c r="C16" s="12"/>
      <c r="D16" s="6" t="s">
        <v>27</v>
      </c>
      <c r="E16" s="7">
        <v>5</v>
      </c>
      <c r="F16" s="13">
        <v>0.5</v>
      </c>
      <c r="G16" s="8">
        <f t="shared" si="1"/>
        <v>4.5</v>
      </c>
      <c r="H16" s="5" t="s">
        <v>28</v>
      </c>
    </row>
    <row r="17" spans="2:8" x14ac:dyDescent="0.2">
      <c r="B17" s="6">
        <v>12</v>
      </c>
      <c r="C17" s="9" t="s">
        <v>29</v>
      </c>
      <c r="D17" s="6" t="s">
        <v>30</v>
      </c>
      <c r="E17" s="7">
        <v>9</v>
      </c>
      <c r="F17" s="7"/>
      <c r="G17" s="8">
        <f t="shared" si="1"/>
        <v>9</v>
      </c>
      <c r="H17" s="6"/>
    </row>
    <row r="18" spans="2:8" x14ac:dyDescent="0.2">
      <c r="B18" s="6">
        <v>13</v>
      </c>
      <c r="C18" s="11"/>
      <c r="D18" s="6" t="s">
        <v>25</v>
      </c>
      <c r="E18" s="7">
        <v>8</v>
      </c>
      <c r="F18" s="7"/>
      <c r="G18" s="8">
        <f t="shared" si="1"/>
        <v>8</v>
      </c>
      <c r="H18" s="6"/>
    </row>
    <row r="19" spans="2:8" x14ac:dyDescent="0.2">
      <c r="B19" s="6">
        <v>14</v>
      </c>
      <c r="C19" s="11"/>
      <c r="D19" s="6" t="s">
        <v>31</v>
      </c>
      <c r="E19" s="7">
        <v>20</v>
      </c>
      <c r="F19" s="7"/>
      <c r="G19" s="8">
        <f t="shared" si="1"/>
        <v>20</v>
      </c>
      <c r="H19" s="6"/>
    </row>
    <row r="20" spans="2:8" x14ac:dyDescent="0.2">
      <c r="B20" s="6">
        <v>15</v>
      </c>
      <c r="C20" s="11"/>
      <c r="D20" s="6" t="s">
        <v>32</v>
      </c>
      <c r="E20" s="7">
        <v>18</v>
      </c>
      <c r="F20" s="7">
        <v>18</v>
      </c>
      <c r="G20" s="8">
        <f t="shared" si="1"/>
        <v>0</v>
      </c>
      <c r="H20" s="6"/>
    </row>
    <row r="21" spans="2:8" x14ac:dyDescent="0.2">
      <c r="B21" s="6">
        <v>16</v>
      </c>
      <c r="C21" s="12"/>
      <c r="D21" s="6" t="s">
        <v>27</v>
      </c>
      <c r="E21" s="7">
        <v>5</v>
      </c>
      <c r="F21" s="13">
        <v>0.5</v>
      </c>
      <c r="G21" s="8">
        <f t="shared" si="1"/>
        <v>4.5</v>
      </c>
      <c r="H21" s="5" t="s">
        <v>28</v>
      </c>
    </row>
    <row r="22" spans="2:8" x14ac:dyDescent="0.2">
      <c r="B22" s="6">
        <v>17</v>
      </c>
      <c r="C22" s="9" t="s">
        <v>33</v>
      </c>
      <c r="D22" s="6" t="s">
        <v>30</v>
      </c>
      <c r="E22" s="7">
        <v>3</v>
      </c>
      <c r="F22" s="7"/>
      <c r="G22" s="8">
        <f t="shared" si="1"/>
        <v>3</v>
      </c>
      <c r="H22" s="6"/>
    </row>
    <row r="23" spans="2:8" x14ac:dyDescent="0.2">
      <c r="B23" s="6">
        <v>18</v>
      </c>
      <c r="C23" s="11"/>
      <c r="D23" s="6" t="s">
        <v>34</v>
      </c>
      <c r="E23" s="7">
        <v>20</v>
      </c>
      <c r="F23" s="7"/>
      <c r="G23" s="8">
        <f t="shared" si="1"/>
        <v>20</v>
      </c>
      <c r="H23" s="6"/>
    </row>
    <row r="24" spans="2:8" x14ac:dyDescent="0.2">
      <c r="B24" s="6">
        <v>19</v>
      </c>
      <c r="C24" s="12"/>
      <c r="D24" s="6" t="s">
        <v>27</v>
      </c>
      <c r="E24" s="7">
        <v>5</v>
      </c>
      <c r="F24" s="7">
        <v>0.5</v>
      </c>
      <c r="G24" s="8">
        <f t="shared" si="1"/>
        <v>4.5</v>
      </c>
      <c r="H24" s="6"/>
    </row>
    <row r="25" spans="2:8" x14ac:dyDescent="0.2">
      <c r="B25" s="6">
        <v>20</v>
      </c>
      <c r="C25" s="6" t="s">
        <v>35</v>
      </c>
      <c r="D25" s="14" t="s">
        <v>36</v>
      </c>
      <c r="E25" s="15">
        <v>90</v>
      </c>
      <c r="F25" s="6">
        <v>3</v>
      </c>
      <c r="G25" s="8">
        <f t="shared" si="1"/>
        <v>87</v>
      </c>
      <c r="H25" s="6"/>
    </row>
    <row r="26" spans="2:8" x14ac:dyDescent="0.2">
      <c r="B26" s="6">
        <v>21</v>
      </c>
      <c r="C26" s="6" t="s">
        <v>37</v>
      </c>
      <c r="D26" s="14" t="s">
        <v>38</v>
      </c>
      <c r="E26" s="15">
        <v>12</v>
      </c>
      <c r="F26" s="6">
        <v>0.25</v>
      </c>
      <c r="G26" s="8">
        <f t="shared" si="1"/>
        <v>11.75</v>
      </c>
      <c r="H26" s="6"/>
    </row>
    <row r="27" spans="2:8" x14ac:dyDescent="0.2">
      <c r="C27" s="16"/>
      <c r="D27" s="17" t="s">
        <v>39</v>
      </c>
      <c r="E27" s="7">
        <f>SUM(E6:E26)</f>
        <v>323</v>
      </c>
      <c r="F27" s="7">
        <f>SUM(F6:F26)</f>
        <v>85.25</v>
      </c>
      <c r="G27" s="8">
        <f t="shared" si="1"/>
        <v>237.75</v>
      </c>
      <c r="H27" s="18">
        <f>G27/E27</f>
        <v>0.73606811145510831</v>
      </c>
    </row>
    <row r="28" spans="2:8" x14ac:dyDescent="0.2">
      <c r="C28" s="19"/>
      <c r="D28" s="20"/>
      <c r="E28" s="21"/>
      <c r="F28" s="21"/>
      <c r="G28" s="22"/>
    </row>
    <row r="29" spans="2:8" x14ac:dyDescent="0.2">
      <c r="B29" t="s">
        <v>40</v>
      </c>
      <c r="C29" s="19"/>
      <c r="D29" s="19"/>
    </row>
    <row r="30" spans="2:8" x14ac:dyDescent="0.2">
      <c r="B30" t="s">
        <v>41</v>
      </c>
      <c r="E30" t="s">
        <v>4</v>
      </c>
    </row>
    <row r="31" spans="2:8" x14ac:dyDescent="0.2">
      <c r="B31" s="2" t="s">
        <v>5</v>
      </c>
      <c r="C31" s="3" t="s">
        <v>6</v>
      </c>
      <c r="D31" s="2" t="s">
        <v>7</v>
      </c>
      <c r="E31" s="2" t="s">
        <v>8</v>
      </c>
      <c r="F31" s="2" t="s">
        <v>9</v>
      </c>
      <c r="G31" s="4" t="s">
        <v>10</v>
      </c>
      <c r="H31" s="5" t="s">
        <v>11</v>
      </c>
    </row>
    <row r="32" spans="2:8" x14ac:dyDescent="0.2">
      <c r="B32" s="6">
        <v>1</v>
      </c>
      <c r="C32" s="6" t="s">
        <v>12</v>
      </c>
      <c r="D32" s="6" t="s">
        <v>13</v>
      </c>
      <c r="E32" s="7">
        <v>100</v>
      </c>
      <c r="F32" s="7">
        <v>100</v>
      </c>
      <c r="G32" s="8">
        <f t="shared" ref="G32:G35" si="2">E32-F32</f>
        <v>0</v>
      </c>
      <c r="H32" s="6"/>
    </row>
    <row r="33" spans="2:8" x14ac:dyDescent="0.2">
      <c r="B33" s="6">
        <v>2</v>
      </c>
      <c r="C33" s="9" t="s">
        <v>14</v>
      </c>
      <c r="D33" s="6" t="s">
        <v>15</v>
      </c>
      <c r="E33" s="7"/>
      <c r="F33" s="7">
        <v>0.25</v>
      </c>
      <c r="G33" s="10">
        <f t="shared" si="2"/>
        <v>-0.25</v>
      </c>
      <c r="H33" s="6"/>
    </row>
    <row r="34" spans="2:8" x14ac:dyDescent="0.2">
      <c r="B34" s="6">
        <v>3</v>
      </c>
      <c r="C34" s="11"/>
      <c r="D34" s="6" t="s">
        <v>16</v>
      </c>
      <c r="E34" s="7"/>
      <c r="F34" s="7">
        <v>0.25</v>
      </c>
      <c r="G34" s="10">
        <f t="shared" si="2"/>
        <v>-0.25</v>
      </c>
      <c r="H34" s="6"/>
    </row>
    <row r="35" spans="2:8" x14ac:dyDescent="0.2">
      <c r="B35" s="6">
        <v>4</v>
      </c>
      <c r="C35" s="12"/>
      <c r="D35" s="6" t="s">
        <v>17</v>
      </c>
      <c r="E35" s="7"/>
      <c r="F35" s="7">
        <v>0.25</v>
      </c>
      <c r="G35" s="10">
        <f t="shared" si="2"/>
        <v>-0.25</v>
      </c>
      <c r="H35" s="6"/>
    </row>
    <row r="36" spans="2:8" x14ac:dyDescent="0.2">
      <c r="B36" s="6">
        <v>5</v>
      </c>
      <c r="C36" s="9" t="s">
        <v>18</v>
      </c>
      <c r="D36" s="6" t="s">
        <v>19</v>
      </c>
      <c r="E36" s="7">
        <v>20</v>
      </c>
      <c r="F36" s="7">
        <v>1</v>
      </c>
      <c r="G36" s="8">
        <f>E36-F36</f>
        <v>19</v>
      </c>
      <c r="H36" s="6"/>
    </row>
    <row r="37" spans="2:8" x14ac:dyDescent="0.2">
      <c r="B37" s="6">
        <v>6</v>
      </c>
      <c r="C37" s="11"/>
      <c r="D37" s="6" t="s">
        <v>20</v>
      </c>
      <c r="E37" s="7">
        <v>12</v>
      </c>
      <c r="F37" s="7"/>
      <c r="G37" s="8">
        <f t="shared" ref="G37:G57" si="3">E37-F37</f>
        <v>12</v>
      </c>
      <c r="H37" s="6"/>
    </row>
    <row r="38" spans="2:8" x14ac:dyDescent="0.2">
      <c r="B38" s="6">
        <v>7</v>
      </c>
      <c r="C38" s="11"/>
      <c r="D38" s="6" t="s">
        <v>21</v>
      </c>
      <c r="E38" s="7">
        <v>30</v>
      </c>
      <c r="F38" s="13">
        <v>1</v>
      </c>
      <c r="G38" s="8">
        <f t="shared" si="3"/>
        <v>29</v>
      </c>
      <c r="H38" s="5" t="s">
        <v>42</v>
      </c>
    </row>
    <row r="39" spans="2:8" x14ac:dyDescent="0.2">
      <c r="B39" s="6">
        <v>8</v>
      </c>
      <c r="C39" s="11"/>
      <c r="D39" s="6" t="s">
        <v>23</v>
      </c>
      <c r="E39" s="7">
        <v>10</v>
      </c>
      <c r="F39" s="13">
        <v>0.25</v>
      </c>
      <c r="G39" s="8">
        <f t="shared" si="3"/>
        <v>9.75</v>
      </c>
      <c r="H39" s="5" t="s">
        <v>24</v>
      </c>
    </row>
    <row r="40" spans="2:8" x14ac:dyDescent="0.2">
      <c r="B40" s="6">
        <v>9</v>
      </c>
      <c r="C40" s="11"/>
      <c r="D40" s="6" t="s">
        <v>25</v>
      </c>
      <c r="E40" s="7">
        <v>12</v>
      </c>
      <c r="F40" s="7"/>
      <c r="G40" s="8">
        <f t="shared" si="3"/>
        <v>12</v>
      </c>
      <c r="H40" s="6"/>
    </row>
    <row r="41" spans="2:8" x14ac:dyDescent="0.2">
      <c r="B41" s="6">
        <v>10</v>
      </c>
      <c r="C41" s="11"/>
      <c r="D41" s="6" t="s">
        <v>26</v>
      </c>
      <c r="E41" s="7">
        <v>25</v>
      </c>
      <c r="F41" s="7"/>
      <c r="G41" s="8">
        <f t="shared" si="3"/>
        <v>25</v>
      </c>
      <c r="H41" s="6"/>
    </row>
    <row r="42" spans="2:8" x14ac:dyDescent="0.2">
      <c r="B42" s="6">
        <v>11</v>
      </c>
      <c r="C42" s="12"/>
      <c r="D42" s="6" t="s">
        <v>27</v>
      </c>
      <c r="E42" s="7">
        <v>5</v>
      </c>
      <c r="F42" s="7">
        <v>0.5</v>
      </c>
      <c r="G42" s="8">
        <f t="shared" si="3"/>
        <v>4.5</v>
      </c>
      <c r="H42" s="6"/>
    </row>
    <row r="43" spans="2:8" x14ac:dyDescent="0.2">
      <c r="B43" s="6">
        <v>12</v>
      </c>
      <c r="C43" s="9" t="s">
        <v>29</v>
      </c>
      <c r="D43" s="6" t="s">
        <v>30</v>
      </c>
      <c r="E43" s="7">
        <v>9</v>
      </c>
      <c r="F43" s="7"/>
      <c r="G43" s="8">
        <f t="shared" si="3"/>
        <v>9</v>
      </c>
      <c r="H43" s="6"/>
    </row>
    <row r="44" spans="2:8" x14ac:dyDescent="0.2">
      <c r="B44" s="6">
        <v>13</v>
      </c>
      <c r="C44" s="11"/>
      <c r="D44" s="6" t="s">
        <v>25</v>
      </c>
      <c r="E44" s="7">
        <v>8</v>
      </c>
      <c r="F44" s="7"/>
      <c r="G44" s="8">
        <f t="shared" si="3"/>
        <v>8</v>
      </c>
      <c r="H44" s="6"/>
    </row>
    <row r="45" spans="2:8" x14ac:dyDescent="0.2">
      <c r="B45" s="6">
        <v>14</v>
      </c>
      <c r="C45" s="11"/>
      <c r="D45" s="6" t="s">
        <v>31</v>
      </c>
      <c r="E45" s="7">
        <v>20</v>
      </c>
      <c r="F45" s="7"/>
      <c r="G45" s="8">
        <f t="shared" si="3"/>
        <v>20</v>
      </c>
      <c r="H45" s="6"/>
    </row>
    <row r="46" spans="2:8" x14ac:dyDescent="0.2">
      <c r="B46" s="6">
        <v>15</v>
      </c>
      <c r="C46" s="11"/>
      <c r="D46" s="6" t="s">
        <v>32</v>
      </c>
      <c r="E46" s="7">
        <v>18</v>
      </c>
      <c r="F46" s="7">
        <v>18</v>
      </c>
      <c r="G46" s="8">
        <f t="shared" si="3"/>
        <v>0</v>
      </c>
      <c r="H46" s="6"/>
    </row>
    <row r="47" spans="2:8" x14ac:dyDescent="0.2">
      <c r="B47" s="6">
        <v>16</v>
      </c>
      <c r="C47" s="11"/>
      <c r="D47" s="6" t="s">
        <v>27</v>
      </c>
      <c r="E47" s="7">
        <v>5</v>
      </c>
      <c r="F47" s="13">
        <v>0.5</v>
      </c>
      <c r="G47" s="8">
        <f t="shared" si="3"/>
        <v>4.5</v>
      </c>
      <c r="H47" s="5" t="s">
        <v>28</v>
      </c>
    </row>
    <row r="48" spans="2:8" x14ac:dyDescent="0.2">
      <c r="B48" s="6">
        <v>17</v>
      </c>
      <c r="C48" s="11"/>
      <c r="D48" s="23" t="s">
        <v>43</v>
      </c>
      <c r="E48" s="7">
        <v>14</v>
      </c>
      <c r="F48" s="13">
        <v>2</v>
      </c>
      <c r="G48" s="8">
        <f t="shared" si="3"/>
        <v>12</v>
      </c>
      <c r="H48" s="5" t="s">
        <v>44</v>
      </c>
    </row>
    <row r="49" spans="2:8" x14ac:dyDescent="0.2">
      <c r="B49" s="6">
        <v>18</v>
      </c>
      <c r="C49" s="9" t="s">
        <v>33</v>
      </c>
      <c r="D49" s="6" t="s">
        <v>30</v>
      </c>
      <c r="E49" s="7">
        <v>3</v>
      </c>
      <c r="F49" s="7"/>
      <c r="G49" s="8">
        <f t="shared" si="3"/>
        <v>3</v>
      </c>
      <c r="H49" s="6"/>
    </row>
    <row r="50" spans="2:8" x14ac:dyDescent="0.2">
      <c r="B50" s="6">
        <v>19</v>
      </c>
      <c r="C50" s="11"/>
      <c r="D50" s="6" t="s">
        <v>34</v>
      </c>
      <c r="E50" s="7">
        <v>20</v>
      </c>
      <c r="F50" s="7"/>
      <c r="G50" s="8">
        <f t="shared" si="3"/>
        <v>20</v>
      </c>
      <c r="H50" s="6"/>
    </row>
    <row r="51" spans="2:8" x14ac:dyDescent="0.2">
      <c r="B51" s="6">
        <v>20</v>
      </c>
      <c r="C51" s="12"/>
      <c r="D51" s="6" t="s">
        <v>27</v>
      </c>
      <c r="E51" s="7">
        <v>5</v>
      </c>
      <c r="F51" s="13">
        <v>0.5</v>
      </c>
      <c r="G51" s="8">
        <f t="shared" si="3"/>
        <v>4.5</v>
      </c>
      <c r="H51" s="5" t="s">
        <v>28</v>
      </c>
    </row>
    <row r="52" spans="2:8" x14ac:dyDescent="0.2">
      <c r="B52" s="6">
        <v>21</v>
      </c>
      <c r="C52" s="6" t="s">
        <v>35</v>
      </c>
      <c r="D52" s="14" t="s">
        <v>36</v>
      </c>
      <c r="E52" s="15">
        <v>90</v>
      </c>
      <c r="F52" s="6">
        <v>3</v>
      </c>
      <c r="G52" s="8">
        <f t="shared" si="3"/>
        <v>87</v>
      </c>
      <c r="H52" s="6"/>
    </row>
    <row r="53" spans="2:8" x14ac:dyDescent="0.2">
      <c r="B53" s="6">
        <v>22</v>
      </c>
      <c r="C53" s="6" t="s">
        <v>37</v>
      </c>
      <c r="D53" s="14" t="s">
        <v>38</v>
      </c>
      <c r="E53" s="15">
        <v>20</v>
      </c>
      <c r="F53" s="6">
        <v>0.25</v>
      </c>
      <c r="G53" s="8">
        <f t="shared" si="3"/>
        <v>19.75</v>
      </c>
      <c r="H53" s="6"/>
    </row>
    <row r="54" spans="2:8" x14ac:dyDescent="0.2">
      <c r="B54" s="6">
        <v>23</v>
      </c>
      <c r="C54" s="23" t="s">
        <v>45</v>
      </c>
      <c r="D54" s="24" t="s">
        <v>46</v>
      </c>
      <c r="E54" s="15">
        <v>10</v>
      </c>
      <c r="F54" s="6">
        <v>0.1</v>
      </c>
      <c r="G54" s="8">
        <f t="shared" si="3"/>
        <v>9.9</v>
      </c>
      <c r="H54" s="6"/>
    </row>
    <row r="55" spans="2:8" x14ac:dyDescent="0.2">
      <c r="B55" s="6">
        <v>24</v>
      </c>
      <c r="C55" s="25" t="s">
        <v>47</v>
      </c>
      <c r="D55" s="24" t="s">
        <v>48</v>
      </c>
      <c r="E55" s="15">
        <v>10</v>
      </c>
      <c r="F55" s="6">
        <v>0.1</v>
      </c>
      <c r="G55" s="8">
        <f t="shared" si="3"/>
        <v>9.9</v>
      </c>
      <c r="H55" s="6"/>
    </row>
    <row r="56" spans="2:8" x14ac:dyDescent="0.2">
      <c r="B56" s="6">
        <v>25</v>
      </c>
      <c r="C56" s="26"/>
      <c r="D56" s="24" t="s">
        <v>49</v>
      </c>
      <c r="E56" s="15">
        <v>30</v>
      </c>
      <c r="F56" s="6">
        <v>1</v>
      </c>
      <c r="G56" s="8">
        <f t="shared" si="3"/>
        <v>29</v>
      </c>
      <c r="H56" s="6"/>
    </row>
    <row r="57" spans="2:8" x14ac:dyDescent="0.2">
      <c r="C57" s="19"/>
      <c r="D57" s="20" t="s">
        <v>50</v>
      </c>
      <c r="E57" s="27">
        <f>SUM(E32:E56)</f>
        <v>476</v>
      </c>
      <c r="F57" s="27">
        <f>SUM(F32:F56)</f>
        <v>128.94999999999999</v>
      </c>
      <c r="G57" s="28">
        <f t="shared" si="3"/>
        <v>347.05</v>
      </c>
      <c r="H57" s="18">
        <f>G57/E57</f>
        <v>0.72909663865546226</v>
      </c>
    </row>
    <row r="60" spans="2:8" x14ac:dyDescent="0.2">
      <c r="B60" t="s">
        <v>51</v>
      </c>
      <c r="C60" s="19"/>
      <c r="D60" s="19"/>
    </row>
    <row r="61" spans="2:8" x14ac:dyDescent="0.2">
      <c r="B61" t="s">
        <v>52</v>
      </c>
      <c r="E61" t="s">
        <v>53</v>
      </c>
    </row>
    <row r="62" spans="2:8" x14ac:dyDescent="0.2">
      <c r="B62" s="2" t="s">
        <v>5</v>
      </c>
      <c r="C62" s="3" t="s">
        <v>6</v>
      </c>
      <c r="D62" s="2" t="s">
        <v>7</v>
      </c>
      <c r="E62" s="2" t="s">
        <v>8</v>
      </c>
      <c r="F62" s="2" t="s">
        <v>9</v>
      </c>
      <c r="G62" s="4" t="s">
        <v>10</v>
      </c>
      <c r="H62" s="5" t="s">
        <v>11</v>
      </c>
    </row>
    <row r="63" spans="2:8" x14ac:dyDescent="0.2">
      <c r="B63" s="6">
        <v>1</v>
      </c>
      <c r="C63" s="9" t="s">
        <v>14</v>
      </c>
      <c r="D63" s="6" t="s">
        <v>15</v>
      </c>
      <c r="E63" s="7"/>
      <c r="F63" s="7">
        <v>0.05</v>
      </c>
      <c r="G63" s="10">
        <f t="shared" ref="G63:G65" si="4">E63-F63</f>
        <v>-0.05</v>
      </c>
      <c r="H63" s="6"/>
    </row>
    <row r="64" spans="2:8" x14ac:dyDescent="0.2">
      <c r="B64" s="6">
        <v>2</v>
      </c>
      <c r="C64" s="11"/>
      <c r="D64" s="6" t="s">
        <v>16</v>
      </c>
      <c r="E64" s="7"/>
      <c r="F64" s="7">
        <v>0.05</v>
      </c>
      <c r="G64" s="10">
        <f t="shared" si="4"/>
        <v>-0.05</v>
      </c>
      <c r="H64" s="6"/>
    </row>
    <row r="65" spans="2:8" x14ac:dyDescent="0.2">
      <c r="B65" s="6">
        <v>3</v>
      </c>
      <c r="C65" s="12"/>
      <c r="D65" s="6" t="s">
        <v>17</v>
      </c>
      <c r="E65" s="7"/>
      <c r="F65" s="7">
        <v>0.05</v>
      </c>
      <c r="G65" s="10">
        <f t="shared" si="4"/>
        <v>-0.05</v>
      </c>
      <c r="H65" s="6"/>
    </row>
    <row r="66" spans="2:8" x14ac:dyDescent="0.2">
      <c r="B66" s="6">
        <v>4</v>
      </c>
      <c r="C66" s="9" t="s">
        <v>54</v>
      </c>
      <c r="D66" s="6" t="s">
        <v>55</v>
      </c>
      <c r="E66" s="7">
        <v>3</v>
      </c>
      <c r="F66" s="7">
        <v>0.1</v>
      </c>
      <c r="G66" s="8">
        <f>E66-F66</f>
        <v>2.9</v>
      </c>
      <c r="H66" s="6"/>
    </row>
    <row r="67" spans="2:8" x14ac:dyDescent="0.2">
      <c r="B67" s="6">
        <v>5</v>
      </c>
      <c r="C67" s="11"/>
      <c r="D67" s="23" t="s">
        <v>56</v>
      </c>
      <c r="E67" s="7"/>
      <c r="F67" s="7">
        <v>0.25</v>
      </c>
      <c r="G67" s="10">
        <f t="shared" ref="G67:G72" si="5">E67-F67</f>
        <v>-0.25</v>
      </c>
      <c r="H67" s="6"/>
    </row>
    <row r="68" spans="2:8" x14ac:dyDescent="0.2">
      <c r="B68" s="6">
        <v>6</v>
      </c>
      <c r="C68" s="11"/>
      <c r="D68" s="6" t="s">
        <v>57</v>
      </c>
      <c r="E68" s="7">
        <v>0.1</v>
      </c>
      <c r="F68" s="15">
        <v>0.1</v>
      </c>
      <c r="G68" s="10">
        <f t="shared" si="5"/>
        <v>0</v>
      </c>
      <c r="H68" s="6"/>
    </row>
    <row r="69" spans="2:8" x14ac:dyDescent="0.2">
      <c r="B69" s="6">
        <v>7</v>
      </c>
      <c r="C69" s="11"/>
      <c r="D69" s="6" t="s">
        <v>58</v>
      </c>
      <c r="E69" s="7">
        <v>1</v>
      </c>
      <c r="F69" s="7"/>
      <c r="G69" s="8">
        <f t="shared" si="5"/>
        <v>1</v>
      </c>
      <c r="H69" s="6"/>
    </row>
    <row r="70" spans="2:8" x14ac:dyDescent="0.2">
      <c r="B70" s="6">
        <v>8</v>
      </c>
      <c r="C70" s="11"/>
      <c r="D70" s="6" t="s">
        <v>59</v>
      </c>
      <c r="E70" s="7">
        <v>1</v>
      </c>
      <c r="F70" s="7"/>
      <c r="G70" s="8">
        <f t="shared" si="5"/>
        <v>1</v>
      </c>
      <c r="H70" s="6"/>
    </row>
    <row r="71" spans="2:8" x14ac:dyDescent="0.2">
      <c r="B71" s="6">
        <v>9</v>
      </c>
      <c r="C71" s="6" t="s">
        <v>60</v>
      </c>
      <c r="D71" s="6" t="s">
        <v>61</v>
      </c>
      <c r="E71" s="7"/>
      <c r="F71" s="7">
        <v>2</v>
      </c>
      <c r="G71" s="10">
        <f t="shared" si="5"/>
        <v>-2</v>
      </c>
      <c r="H71" s="6"/>
    </row>
    <row r="72" spans="2:8" x14ac:dyDescent="0.2">
      <c r="C72" s="19"/>
      <c r="D72" s="20" t="s">
        <v>50</v>
      </c>
      <c r="E72" s="27">
        <f>SUM(E63:E71)</f>
        <v>5.0999999999999996</v>
      </c>
      <c r="F72" s="27">
        <f>SUM(F63:F71)</f>
        <v>2.6</v>
      </c>
      <c r="G72" s="28">
        <f t="shared" si="5"/>
        <v>2.4999999999999996</v>
      </c>
      <c r="H72" s="18">
        <f>G72/E72</f>
        <v>0.49019607843137247</v>
      </c>
    </row>
  </sheetData>
  <phoneticPr fontId="1"/>
  <conditionalFormatting sqref="E6:G28">
    <cfRule type="dataBar" priority="4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{57D21485-DBF4-402F-BEB9-DCCC6BA2B1AA}</x14:id>
        </ext>
      </extLst>
    </cfRule>
    <cfRule type="dataBar" priority="6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{25CAC325-BDEE-40BB-9887-02DDEB63E8D0}</x14:id>
        </ext>
      </extLst>
    </cfRule>
  </conditionalFormatting>
  <conditionalFormatting sqref="E32:G54 E57:G57">
    <cfRule type="dataBar" priority="5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{0A1773C7-11CA-493F-B6E4-7613870C13D7}</x14:id>
        </ext>
      </extLst>
    </cfRule>
  </conditionalFormatting>
  <conditionalFormatting sqref="E56:G56">
    <cfRule type="dataBar" priority="3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{014A269E-89A2-45F4-AD43-503EE104C037}</x14:id>
        </ext>
      </extLst>
    </cfRule>
  </conditionalFormatting>
  <conditionalFormatting sqref="E55:G55">
    <cfRule type="dataBar" priority="2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{314921B1-12C2-49B6-AFCA-394BDB63D1FF}</x14:id>
        </ext>
      </extLst>
    </cfRule>
  </conditionalFormatting>
  <conditionalFormatting sqref="E63:G72">
    <cfRule type="dataBar" priority="1">
      <dataBar>
        <cfvo type="min"/>
        <cfvo type="max"/>
        <color rgb="FF92CCFF"/>
      </dataBar>
      <extLst>
        <ext xmlns:x14="http://schemas.microsoft.com/office/spreadsheetml/2009/9/main" uri="{B025F937-C7B1-47D3-B67F-A62EFF666E3E}">
          <x14:id>{86003969-8ADE-48CC-8064-F7414A9414C6}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21485-DBF4-402F-BEB9-DCCC6BA2B1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CAC325-BDEE-40BB-9887-02DDEB63E8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E6:G28</xm:sqref>
        </x14:conditionalFormatting>
        <x14:conditionalFormatting xmlns:xm="http://schemas.microsoft.com/office/excel/2006/main">
          <x14:cfRule type="dataBar" id="{0A1773C7-11CA-493F-B6E4-7613870C13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E32:G54 E57:G57</xm:sqref>
        </x14:conditionalFormatting>
        <x14:conditionalFormatting xmlns:xm="http://schemas.microsoft.com/office/excel/2006/main">
          <x14:cfRule type="dataBar" id="{014A269E-89A2-45F4-AD43-503EE104C0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E56:G56</xm:sqref>
        </x14:conditionalFormatting>
        <x14:conditionalFormatting xmlns:xm="http://schemas.microsoft.com/office/excel/2006/main">
          <x14:cfRule type="dataBar" id="{314921B1-12C2-49B6-AFCA-394BDB63D1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E55:G55</xm:sqref>
        </x14:conditionalFormatting>
        <x14:conditionalFormatting xmlns:xm="http://schemas.microsoft.com/office/excel/2006/main">
          <x14:cfRule type="dataBar" id="{86003969-8ADE-48CC-8064-F7414A9414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E63:G72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効果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片岡哲兵</dc:creator>
  <cp:lastModifiedBy>片岡哲兵</cp:lastModifiedBy>
  <dcterms:created xsi:type="dcterms:W3CDTF">2021-02-04T09:52:34Z</dcterms:created>
  <dcterms:modified xsi:type="dcterms:W3CDTF">2021-02-04T09:52:34Z</dcterms:modified>
</cp:coreProperties>
</file>